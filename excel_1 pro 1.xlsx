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4380" windowHeight="3520"/>
  </bookViews>
  <sheets>
    <sheet name="Sheet1" sheetId="1" r:id="rId1"/>
  </sheets>
  <definedNames>
    <definedName name="_xlnm._FilterDatabase" localSheetId="0" hidden="1">Sheet1!$A$1:$E$11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2" i="1"/>
  <c r="A17" i="1"/>
  <c r="A16" i="1"/>
  <c r="A15" i="1"/>
  <c r="A14" i="1"/>
</calcChain>
</file>

<file path=xl/sharedStrings.xml><?xml version="1.0" encoding="utf-8"?>
<sst xmlns="http://schemas.openxmlformats.org/spreadsheetml/2006/main" count="47" uniqueCount="30">
  <si>
    <t>Name</t>
  </si>
  <si>
    <t>Sales</t>
  </si>
  <si>
    <t>Region</t>
  </si>
  <si>
    <t>Profit</t>
  </si>
  <si>
    <t>John</t>
  </si>
  <si>
    <t>East</t>
  </si>
  <si>
    <t>Priya</t>
  </si>
  <si>
    <t>West</t>
  </si>
  <si>
    <t>Ravi</t>
  </si>
  <si>
    <t>North</t>
  </si>
  <si>
    <t>Sneha</t>
  </si>
  <si>
    <t>South</t>
  </si>
  <si>
    <t>Kiran</t>
  </si>
  <si>
    <t>Amit</t>
  </si>
  <si>
    <t>Sara</t>
  </si>
  <si>
    <t>Raj</t>
  </si>
  <si>
    <t>Neha</t>
  </si>
  <si>
    <t>Vijay</t>
  </si>
  <si>
    <t></t>
  </si>
  <si>
    <t></t>
  </si>
  <si>
    <t></t>
  </si>
  <si>
    <t>Claude</t>
  </si>
  <si>
    <t>Performance</t>
  </si>
  <si>
    <t>Employee Lookup</t>
  </si>
  <si>
    <t>vlookup</t>
  </si>
  <si>
    <t>Total Sales</t>
  </si>
  <si>
    <t>Average Sales</t>
  </si>
  <si>
    <t>Highest Sales</t>
  </si>
  <si>
    <t>Lowest Sales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</si>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</sst>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ar(--font-anthropicons, Anthro"/>
    </font>
    <font>
      <sz val="6"/>
      <color theme="1"/>
      <name val="Var(--font-anthropicons, Anthro"/>
    </font>
    <font>
      <u/>
      <sz val="11"/>
      <color theme="10"/>
      <name val="Calibri"/>
      <family val="2"/>
      <scheme val="minor"/>
    </font>
    <font>
      <b/>
      <sz val="10"/>
      <color theme="1"/>
      <name val="Var(--font-anthropicons, Anth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Employee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1161574074074074"/>
          <c:w val="0.87041907261592311"/>
          <c:h val="0.7764432050160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John</c:v>
                </c:pt>
                <c:pt idx="1">
                  <c:v>Priya</c:v>
                </c:pt>
                <c:pt idx="2">
                  <c:v>Ravi</c:v>
                </c:pt>
                <c:pt idx="3">
                  <c:v>Sneha</c:v>
                </c:pt>
                <c:pt idx="4">
                  <c:v>Kiran</c:v>
                </c:pt>
                <c:pt idx="5">
                  <c:v>Amit</c:v>
                </c:pt>
                <c:pt idx="6">
                  <c:v>Sara</c:v>
                </c:pt>
                <c:pt idx="7">
                  <c:v>Raj</c:v>
                </c:pt>
                <c:pt idx="8">
                  <c:v>Neha</c:v>
                </c:pt>
                <c:pt idx="9">
                  <c:v>Vijay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5000</c:v>
                </c:pt>
                <c:pt idx="1">
                  <c:v>8000</c:v>
                </c:pt>
                <c:pt idx="2">
                  <c:v>6500</c:v>
                </c:pt>
                <c:pt idx="3">
                  <c:v>3000</c:v>
                </c:pt>
                <c:pt idx="4">
                  <c:v>9000</c:v>
                </c:pt>
                <c:pt idx="5">
                  <c:v>7200</c:v>
                </c:pt>
                <c:pt idx="6">
                  <c:v>2800</c:v>
                </c:pt>
                <c:pt idx="7">
                  <c:v>8500</c:v>
                </c:pt>
                <c:pt idx="8">
                  <c:v>6000</c:v>
                </c:pt>
                <c:pt idx="9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6-4BF9-A35F-8D4136B94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964032"/>
        <c:axId val="1430346992"/>
      </c:barChart>
      <c:catAx>
        <c:axId val="1371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46992"/>
        <c:crosses val="autoZero"/>
        <c:auto val="1"/>
        <c:lblAlgn val="ctr"/>
        <c:lblOffset val="100"/>
        <c:noMultiLvlLbl val="0"/>
      </c:catAx>
      <c:valAx>
        <c:axId val="14303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6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12</xdr:row>
      <xdr:rowOff>142875</xdr:rowOff>
    </xdr:from>
    <xdr:to>
      <xdr:col>9</xdr:col>
      <xdr:colOff>476251</xdr:colOff>
      <xdr:row>27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anthropic.com/en/articles/8525154-claude-is-providing-incorrect-or-misleading-responses-what-s-going-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I6" sqref="I6"/>
    </sheetView>
  </sheetViews>
  <sheetFormatPr defaultRowHeight="14.5"/>
  <cols>
    <col min="2" max="2" width="15.6328125" customWidth="1"/>
    <col min="3" max="3" width="9.81640625" customWidth="1"/>
    <col min="4" max="4" width="10" customWidth="1"/>
    <col min="5" max="5" width="14.7265625" customWidth="1"/>
    <col min="7" max="7" width="15.90625" customWidth="1"/>
    <col min="8" max="8" width="16.6328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22</v>
      </c>
      <c r="F1" s="6"/>
      <c r="G1" s="6" t="s">
        <v>23</v>
      </c>
      <c r="H1" s="6" t="s">
        <v>24</v>
      </c>
    </row>
    <row r="2" spans="1:8">
      <c r="A2" s="4" t="s">
        <v>4</v>
      </c>
      <c r="B2" s="4">
        <v>5000</v>
      </c>
      <c r="C2" s="4" t="s">
        <v>5</v>
      </c>
      <c r="D2" s="4">
        <v>500</v>
      </c>
      <c r="E2" s="7" t="str">
        <f>IF( B2&gt;6000, "high", "low")</f>
        <v>low</v>
      </c>
      <c r="F2" s="7"/>
      <c r="G2" s="5" t="s">
        <v>4</v>
      </c>
      <c r="H2" s="7">
        <f>VLOOKUP("John", A2:D11, 4, 0)</f>
        <v>500</v>
      </c>
    </row>
    <row r="3" spans="1:8">
      <c r="A3" s="4" t="s">
        <v>6</v>
      </c>
      <c r="B3" s="4">
        <v>8000</v>
      </c>
      <c r="C3" s="4" t="s">
        <v>7</v>
      </c>
      <c r="D3" s="4">
        <v>800</v>
      </c>
      <c r="E3" s="7" t="str">
        <f t="shared" ref="E3:E11" si="0">IF( B3&gt;6000, "high", "low")</f>
        <v>high</v>
      </c>
      <c r="F3" s="7"/>
      <c r="G3" s="5" t="s">
        <v>6</v>
      </c>
      <c r="H3" s="7">
        <f>VLOOKUP(G3, A$2:D$11, 4, 0)</f>
        <v>800</v>
      </c>
    </row>
    <row r="4" spans="1:8">
      <c r="A4" s="4" t="s">
        <v>8</v>
      </c>
      <c r="B4" s="4">
        <v>6500</v>
      </c>
      <c r="C4" s="4" t="s">
        <v>9</v>
      </c>
      <c r="D4" s="4">
        <v>650</v>
      </c>
      <c r="E4" s="7" t="str">
        <f t="shared" si="0"/>
        <v>high</v>
      </c>
      <c r="F4" s="7"/>
      <c r="G4" s="5" t="s">
        <v>8</v>
      </c>
      <c r="H4" s="7">
        <f>VLOOKUP(G4, A$2:D$11,4, 0)</f>
        <v>650</v>
      </c>
    </row>
    <row r="5" spans="1:8">
      <c r="A5" s="4" t="s">
        <v>10</v>
      </c>
      <c r="B5" s="4">
        <v>3000</v>
      </c>
      <c r="C5" s="4" t="s">
        <v>11</v>
      </c>
      <c r="D5" s="4">
        <v>300</v>
      </c>
      <c r="E5" s="7" t="str">
        <f t="shared" si="0"/>
        <v>low</v>
      </c>
      <c r="F5" s="7"/>
      <c r="G5" s="5" t="s">
        <v>10</v>
      </c>
      <c r="H5" s="7">
        <f>VLOOKUP("Sneha", A$2:D$11, 4, 0)</f>
        <v>300</v>
      </c>
    </row>
    <row r="6" spans="1:8">
      <c r="A6" s="4" t="s">
        <v>12</v>
      </c>
      <c r="B6" s="4">
        <v>9000</v>
      </c>
      <c r="C6" s="4" t="s">
        <v>5</v>
      </c>
      <c r="D6" s="4">
        <v>900</v>
      </c>
      <c r="E6" s="7" t="str">
        <f t="shared" si="0"/>
        <v>high</v>
      </c>
      <c r="F6" s="7"/>
      <c r="G6" s="5" t="s">
        <v>12</v>
      </c>
      <c r="H6" s="7">
        <f>VLOOKUP("Kiran", A$2:D$11, 4, 0)</f>
        <v>900</v>
      </c>
    </row>
    <row r="7" spans="1:8">
      <c r="A7" s="4" t="s">
        <v>13</v>
      </c>
      <c r="B7" s="4">
        <v>7200</v>
      </c>
      <c r="C7" s="4" t="s">
        <v>7</v>
      </c>
      <c r="D7" s="4">
        <v>720</v>
      </c>
      <c r="E7" s="7" t="str">
        <f t="shared" si="0"/>
        <v>high</v>
      </c>
      <c r="F7" s="7"/>
      <c r="G7" s="5" t="s">
        <v>13</v>
      </c>
      <c r="H7" s="7">
        <f>VLOOKUP("Amit", A$2:D$11, 4, 0)</f>
        <v>720</v>
      </c>
    </row>
    <row r="8" spans="1:8">
      <c r="A8" s="4" t="s">
        <v>14</v>
      </c>
      <c r="B8" s="4">
        <v>2800</v>
      </c>
      <c r="C8" s="4" t="s">
        <v>9</v>
      </c>
      <c r="D8" s="4">
        <v>280</v>
      </c>
      <c r="E8" s="7" t="str">
        <f t="shared" si="0"/>
        <v>low</v>
      </c>
      <c r="F8" s="7"/>
      <c r="G8" s="5" t="s">
        <v>14</v>
      </c>
      <c r="H8" s="7">
        <f>VLOOKUP("Sara", A$2:D$11, 4, 0)</f>
        <v>280</v>
      </c>
    </row>
    <row r="9" spans="1:8">
      <c r="A9" s="4" t="s">
        <v>15</v>
      </c>
      <c r="B9" s="4">
        <v>8500</v>
      </c>
      <c r="C9" s="4" t="s">
        <v>11</v>
      </c>
      <c r="D9" s="4">
        <v>850</v>
      </c>
      <c r="E9" s="7" t="str">
        <f t="shared" si="0"/>
        <v>high</v>
      </c>
      <c r="F9" s="7"/>
      <c r="G9" s="5" t="s">
        <v>15</v>
      </c>
      <c r="H9" s="7">
        <f>VLOOKUP("Raj", A$2:D$11, 4, 0)</f>
        <v>850</v>
      </c>
    </row>
    <row r="10" spans="1:8">
      <c r="A10" s="4" t="s">
        <v>16</v>
      </c>
      <c r="B10" s="4">
        <v>6000</v>
      </c>
      <c r="C10" s="4" t="s">
        <v>5</v>
      </c>
      <c r="D10" s="4">
        <v>600</v>
      </c>
      <c r="E10" s="7" t="str">
        <f t="shared" si="0"/>
        <v>low</v>
      </c>
      <c r="F10" s="7"/>
      <c r="G10" s="5" t="s">
        <v>16</v>
      </c>
      <c r="H10" s="7">
        <f>VLOOKUP(G10, A$2:D$11, 4, 0)</f>
        <v>600</v>
      </c>
    </row>
    <row r="11" spans="1:8">
      <c r="A11" s="4" t="s">
        <v>17</v>
      </c>
      <c r="B11" s="4">
        <v>3500</v>
      </c>
      <c r="C11" s="4" t="s">
        <v>7</v>
      </c>
      <c r="D11" s="4">
        <v>350</v>
      </c>
      <c r="E11" s="7" t="str">
        <f t="shared" si="0"/>
        <v>low</v>
      </c>
      <c r="F11" s="7"/>
      <c r="G11" s="5" t="s">
        <v>17</v>
      </c>
      <c r="H11" s="7">
        <f>VLOOKUP(G11, A$2:D$11, 4, 0)</f>
        <v>350</v>
      </c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>
        <f>SUM(B2:B11)</f>
        <v>59500</v>
      </c>
      <c r="B13" s="6" t="s">
        <v>25</v>
      </c>
      <c r="C13" s="7"/>
      <c r="D13" s="7"/>
      <c r="E13" s="7"/>
      <c r="F13" s="7"/>
      <c r="G13" s="7"/>
      <c r="H13" s="7"/>
    </row>
    <row r="14" spans="1:8">
      <c r="A14" s="7">
        <f>AVERAGE(B2:B11)</f>
        <v>5950</v>
      </c>
      <c r="B14" s="6" t="s">
        <v>26</v>
      </c>
      <c r="C14" s="7"/>
      <c r="D14" s="7"/>
      <c r="E14" s="7"/>
      <c r="F14" s="7"/>
      <c r="G14" s="7"/>
      <c r="H14" s="7"/>
    </row>
    <row r="15" spans="1:8">
      <c r="A15" s="7">
        <f>MAX(B2:B11)</f>
        <v>9000</v>
      </c>
      <c r="B15" s="6" t="s">
        <v>27</v>
      </c>
      <c r="C15" s="7"/>
      <c r="D15" s="7"/>
      <c r="E15" s="7"/>
      <c r="F15" s="7"/>
      <c r="G15" s="7"/>
      <c r="H15" s="7"/>
    </row>
    <row r="16" spans="1:8">
      <c r="A16" s="8">
        <f>MIN(B2:B11)</f>
        <v>2800</v>
      </c>
      <c r="B16" s="9" t="s">
        <v>28</v>
      </c>
      <c r="C16" s="7"/>
      <c r="D16" s="7"/>
      <c r="E16" s="7"/>
      <c r="F16" s="7"/>
      <c r="G16" s="7"/>
      <c r="H16" s="7"/>
    </row>
    <row r="17" spans="1:8">
      <c r="A17" s="8">
        <f>COUNT(B2:B11)</f>
        <v>10</v>
      </c>
      <c r="B17" s="9" t="s">
        <v>29</v>
      </c>
      <c r="C17" s="7"/>
      <c r="D17" s="7"/>
      <c r="E17" s="7"/>
      <c r="F17" s="7"/>
      <c r="G17" s="7"/>
      <c r="H17" s="7"/>
    </row>
    <row r="19" spans="1:8">
      <c r="A19" s="1" t="s">
        <v>18</v>
      </c>
    </row>
    <row r="21" spans="1:8">
      <c r="A21" s="2" t="s">
        <v>19</v>
      </c>
    </row>
    <row r="22" spans="1:8">
      <c r="A22" s="2" t="s">
        <v>19</v>
      </c>
    </row>
    <row r="23" spans="1:8">
      <c r="A23" s="1" t="s">
        <v>20</v>
      </c>
    </row>
    <row r="24" spans="1:8">
      <c r="A24" s="3" t="s">
        <v>21</v>
      </c>
    </row>
  </sheetData>
  <autoFilter ref="A1:E11"/>
  <conditionalFormatting sqref="B2:B11">
    <cfRule type="cellIs" dxfId="1" priority="2" operator="greaterThan">
      <formula>6000</formula>
    </cfRule>
    <cfRule type="cellIs" dxfId="0" priority="1" operator="lessThan">
      <formula>6000</formula>
    </cfRule>
  </conditionalFormatting>
  <hyperlinks>
    <hyperlink ref="A24" r:id="rId1" display="https://support.anthropic.com/en/articles/8525154-claude-is-providing-incorrect-or-misleading-responses-what-s-going-on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2026-06-12T07:00:22Z</dcterms:created>
  <dcterms:modified xsi:type="dcterms:W3CDTF">2026-06-12T12:15:33Z</dcterms:modified>
</cp:coreProperties>
</file>
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ashboard" sheetId="2" r:id="rId6"/>
  </sheets>
  <definedNames/>
  <calcPr/>
</workbook>
</file>

<file path=xl/sharedStrings.xml><?xml version="1.0" encoding="utf-8"?>
<sst xmlns="http://schemas.openxmlformats.org/spreadsheetml/2006/main" count="54" uniqueCount="24">
  <si>
    <t>Month</t>
  </si>
  <si>
    <t>Category</t>
  </si>
  <si>
    <t>Type</t>
  </si>
  <si>
    <t>Amount</t>
  </si>
  <si>
    <t>Summary</t>
  </si>
  <si>
    <t>January</t>
  </si>
  <si>
    <t>Salary</t>
  </si>
  <si>
    <t>Income</t>
  </si>
  <si>
    <t>Total Income</t>
  </si>
  <si>
    <t>Rent</t>
  </si>
  <si>
    <t>Expense</t>
  </si>
  <si>
    <t xml:space="preserve">Total Expense </t>
  </si>
  <si>
    <t>Food</t>
  </si>
  <si>
    <t>Total Savings</t>
  </si>
  <si>
    <t>Transport</t>
  </si>
  <si>
    <t>Savings %</t>
  </si>
  <si>
    <t>February</t>
  </si>
  <si>
    <t>Month Summary</t>
  </si>
  <si>
    <t>January Income</t>
  </si>
  <si>
    <t>February Income</t>
  </si>
  <si>
    <t>March</t>
  </si>
  <si>
    <t>March Income</t>
  </si>
  <si>
    <t>Budget Dashboard</t>
  </si>
  <si>
    <t>Total Expense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</si>
</sst>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5.0"/>
      <color theme="1"/>
      <name val="Var(--font-anthropicons"/>
    </font>
    <font>
      <b/>
      <sz val="24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theme="8"/>
        <bgColor theme="8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Font="1"/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4" fontId="2" numFmtId="0" xfId="0" applyAlignment="1" applyFill="1" applyFont="1">
      <alignment horizontal="center" readingOrder="0"/>
    </xf>
    <xf borderId="0" fillId="4" fontId="2" numFmtId="0" xfId="0" applyAlignment="1" applyFont="1">
      <alignment horizontal="center"/>
    </xf>
    <xf borderId="0" fillId="5" fontId="2" numFmtId="0" xfId="0" applyAlignment="1" applyFill="1" applyFont="1">
      <alignment horizontal="center" readingOrder="0"/>
    </xf>
    <xf borderId="0" fillId="5" fontId="2" numFmtId="0" xfId="0" applyAlignment="1" applyFont="1">
      <alignment horizontal="center"/>
    </xf>
    <xf borderId="0" fillId="6" fontId="2" numFmtId="0" xfId="0" applyAlignment="1" applyFill="1" applyFont="1">
      <alignment horizontal="center" readingOrder="0"/>
    </xf>
    <xf borderId="0" fillId="6" fontId="2" numFmtId="0" xfId="0" applyAlignment="1" applyFont="1">
      <alignment horizontal="center"/>
    </xf>
    <xf borderId="0" fillId="7" fontId="2" numFmtId="0" xfId="0" applyAlignment="1" applyFill="1" applyFont="1">
      <alignment horizontal="center" readingOrder="0"/>
    </xf>
    <xf borderId="0" fillId="7" fontId="2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Budget Tracker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Sheet1!$A$2:$A$13</c:f>
            </c:strRef>
          </c:cat>
          <c:val>
            <c:numRef>
              <c:f>Sheet1!$B$2:$B$13</c:f>
              <c:numCache/>
            </c:numRef>
          </c:val>
        </c:ser>
        <c:ser>
          <c:idx val="1"/>
          <c:order val="1"/>
          <c:tx>
            <c:strRef>
              <c:f>Sheet1!$C$1</c:f>
            </c:strRef>
          </c:tx>
          <c:cat>
            <c:strRef>
              <c:f>Sheet1!$A$2:$A$13</c:f>
            </c:strRef>
          </c:cat>
          <c:val>
            <c:numRef>
              <c:f>Sheet1!$C$2:$C$13</c:f>
              <c:numCache/>
            </c:numRef>
          </c:val>
        </c:ser>
        <c:ser>
          <c:idx val="2"/>
          <c:order val="2"/>
          <c:tx>
            <c:strRef>
              <c:f>Sheet1!$D$1</c:f>
            </c:strRef>
          </c:tx>
          <c:cat>
            <c:strRef>
              <c:f>Sheet1!$A$2:$A$13</c:f>
            </c:strRef>
          </c:cat>
          <c:val>
            <c:numRef>
              <c:f>Sheet1!$D$2:$D$13</c:f>
              <c:numCache/>
            </c:numRef>
          </c:val>
        </c:ser>
        <c:axId val="1439168836"/>
        <c:axId val="327343768"/>
      </c:barChart>
      <c:catAx>
        <c:axId val="14391688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7343768"/>
      </c:catAx>
      <c:valAx>
        <c:axId val="327343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91688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485775</xdr:colOff>
      <xdr:row>14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1.25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>
      <c r="A2" s="2" t="s">
        <v>5</v>
      </c>
      <c r="B2" s="2" t="s">
        <v>6</v>
      </c>
      <c r="C2" s="2" t="s">
        <v>7</v>
      </c>
      <c r="D2" s="2">
        <v>50000.0</v>
      </c>
      <c r="F2" s="3" t="s">
        <v>8</v>
      </c>
      <c r="G2" s="4">
        <f>SUMIF(C2:C13,"Income",D2:D13)</f>
        <v>152000</v>
      </c>
    </row>
    <row r="3">
      <c r="A3" s="2" t="s">
        <v>5</v>
      </c>
      <c r="B3" s="2" t="s">
        <v>9</v>
      </c>
      <c r="C3" s="2" t="s">
        <v>10</v>
      </c>
      <c r="D3" s="2">
        <v>15000.0</v>
      </c>
      <c r="F3" s="3" t="s">
        <v>11</v>
      </c>
      <c r="G3" s="4">
        <f>SUMIF(C2:C13,"Expense",D2:D13)</f>
        <v>69500</v>
      </c>
    </row>
    <row r="4">
      <c r="A4" s="2" t="s">
        <v>5</v>
      </c>
      <c r="B4" s="2" t="s">
        <v>12</v>
      </c>
      <c r="C4" s="2" t="s">
        <v>10</v>
      </c>
      <c r="D4" s="2">
        <v>5000.0</v>
      </c>
      <c r="F4" s="3" t="s">
        <v>13</v>
      </c>
      <c r="G4" s="4">
        <f>G2-G3</f>
        <v>82500</v>
      </c>
    </row>
    <row r="5">
      <c r="A5" s="2" t="s">
        <v>5</v>
      </c>
      <c r="B5" s="2" t="s">
        <v>14</v>
      </c>
      <c r="C5" s="2" t="s">
        <v>10</v>
      </c>
      <c r="D5" s="2">
        <v>3000.0</v>
      </c>
      <c r="F5" s="3" t="s">
        <v>15</v>
      </c>
      <c r="G5" s="4">
        <f>ROUND(G4/G2*100,2)</f>
        <v>54.28</v>
      </c>
    </row>
    <row r="6">
      <c r="A6" s="2" t="s">
        <v>16</v>
      </c>
      <c r="B6" s="2" t="s">
        <v>6</v>
      </c>
      <c r="C6" s="2" t="s">
        <v>7</v>
      </c>
      <c r="D6" s="2">
        <v>50000.0</v>
      </c>
    </row>
    <row r="7">
      <c r="A7" s="2" t="s">
        <v>16</v>
      </c>
      <c r="B7" s="2" t="s">
        <v>9</v>
      </c>
      <c r="C7" s="2" t="s">
        <v>10</v>
      </c>
      <c r="D7" s="2">
        <v>15000.0</v>
      </c>
      <c r="F7" s="1" t="s">
        <v>17</v>
      </c>
    </row>
    <row r="8">
      <c r="A8" s="2" t="s">
        <v>16</v>
      </c>
      <c r="B8" s="2" t="s">
        <v>12</v>
      </c>
      <c r="C8" s="2" t="s">
        <v>10</v>
      </c>
      <c r="D8" s="2">
        <v>6000.0</v>
      </c>
      <c r="F8" s="5" t="s">
        <v>18</v>
      </c>
      <c r="G8" s="4">
        <f>SUMIF(A2:A13,"January",D2:D13)</f>
        <v>73000</v>
      </c>
    </row>
    <row r="9">
      <c r="A9" s="2" t="s">
        <v>16</v>
      </c>
      <c r="B9" s="2" t="s">
        <v>14</v>
      </c>
      <c r="C9" s="2" t="s">
        <v>10</v>
      </c>
      <c r="D9" s="2">
        <v>2500.0</v>
      </c>
      <c r="F9" s="5" t="s">
        <v>19</v>
      </c>
      <c r="G9" s="4">
        <f>SUMIF(A2:A13,"February",D2:D13)</f>
        <v>73500</v>
      </c>
    </row>
    <row r="10">
      <c r="A10" s="2" t="s">
        <v>20</v>
      </c>
      <c r="B10" s="2" t="s">
        <v>6</v>
      </c>
      <c r="C10" s="2" t="s">
        <v>7</v>
      </c>
      <c r="D10" s="2">
        <v>52000.0</v>
      </c>
      <c r="F10" s="5" t="s">
        <v>21</v>
      </c>
      <c r="G10" s="4">
        <f>SUMIF(A2:A13,"February",D2:D13)</f>
        <v>73500</v>
      </c>
    </row>
    <row r="11">
      <c r="A11" s="2" t="s">
        <v>20</v>
      </c>
      <c r="B11" s="2" t="s">
        <v>9</v>
      </c>
      <c r="C11" s="2" t="s">
        <v>10</v>
      </c>
      <c r="D11" s="2">
        <v>15000.0</v>
      </c>
    </row>
    <row r="12">
      <c r="A12" s="2" t="s">
        <v>20</v>
      </c>
      <c r="B12" s="2" t="s">
        <v>12</v>
      </c>
      <c r="C12" s="2" t="s">
        <v>10</v>
      </c>
      <c r="D12" s="2">
        <v>4500.0</v>
      </c>
    </row>
    <row r="13">
      <c r="A13" s="2" t="s">
        <v>20</v>
      </c>
      <c r="B13" s="2" t="s">
        <v>14</v>
      </c>
      <c r="C13" s="2" t="s">
        <v>10</v>
      </c>
      <c r="D13" s="2">
        <v>3500.0</v>
      </c>
    </row>
    <row r="15">
      <c r="A15" s="2"/>
    </row>
    <row r="16">
      <c r="A16" s="6"/>
    </row>
    <row r="17">
      <c r="A17" s="6"/>
    </row>
  </sheetData>
  <conditionalFormatting sqref="D2:D13">
    <cfRule type="cellIs" dxfId="0" priority="1" operator="greaterThan">
      <formula>10000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2.38"/>
  </cols>
  <sheetData>
    <row r="1" ht="50.25" customHeight="1">
      <c r="A1" s="7" t="s">
        <v>22</v>
      </c>
    </row>
    <row r="2">
      <c r="A2" s="8"/>
      <c r="B2" s="8"/>
      <c r="C2" s="8"/>
    </row>
    <row r="3">
      <c r="A3" s="9" t="s">
        <v>8</v>
      </c>
      <c r="B3" s="10">
        <f>Sheet1!G2</f>
        <v>152000</v>
      </c>
      <c r="C3" s="8"/>
    </row>
    <row r="4">
      <c r="A4" s="11" t="s">
        <v>23</v>
      </c>
      <c r="B4" s="12">
        <f>Sheet1!G3</f>
        <v>69500</v>
      </c>
      <c r="C4" s="8"/>
    </row>
    <row r="5">
      <c r="A5" s="13" t="s">
        <v>13</v>
      </c>
      <c r="B5" s="14">
        <f>Sheet1!G4</f>
        <v>82500</v>
      </c>
      <c r="C5" s="8"/>
      <c r="D5" s="8"/>
    </row>
    <row r="6">
      <c r="A6" s="15" t="s">
        <v>15</v>
      </c>
      <c r="B6" s="16">
        <f>Sheet1!G5</f>
        <v>54.28</v>
      </c>
      <c r="C6" s="8"/>
      <c r="D6" s="8"/>
    </row>
    <row r="7">
      <c r="A7" s="8"/>
      <c r="B7" s="8"/>
      <c r="C7" s="8"/>
    </row>
    <row r="8">
      <c r="A8" s="8"/>
      <c r="B8" s="8"/>
      <c r="C8" s="8"/>
    </row>
    <row r="9">
      <c r="A9" s="8"/>
      <c r="B9" s="8"/>
      <c r="C9" s="8"/>
    </row>
    <row r="10">
      <c r="A10" s="8"/>
      <c r="B10" s="8"/>
      <c r="C10" s="8"/>
    </row>
    <row r="11">
      <c r="A11" s="8"/>
      <c r="B11" s="8"/>
      <c r="C11" s="8"/>
    </row>
    <row r="12">
      <c r="A12" s="8"/>
      <c r="B12" s="8"/>
      <c r="C12" s="8"/>
    </row>
    <row r="13">
      <c r="A13" s="8"/>
      <c r="B13" s="8"/>
      <c r="C13" s="8"/>
    </row>
    <row r="14">
      <c r="A14" s="8"/>
      <c r="B14" s="8"/>
      <c r="C14" s="8"/>
    </row>
    <row r="15">
      <c r="A15" s="8"/>
      <c r="B15" s="8"/>
      <c r="C15" s="8"/>
    </row>
    <row r="16">
      <c r="A16" s="8"/>
      <c r="B16" s="8"/>
      <c r="C16" s="8"/>
    </row>
    <row r="17">
      <c r="A17" s="8"/>
      <c r="B17" s="8"/>
      <c r="C17" s="8"/>
    </row>
    <row r="18">
      <c r="A18" s="8"/>
      <c r="B18" s="8"/>
      <c r="C18" s="8"/>
    </row>
    <row r="19">
      <c r="A19" s="8"/>
      <c r="B19" s="8"/>
      <c r="C19" s="8"/>
    </row>
    <row r="20">
      <c r="A20" s="8"/>
      <c r="B20" s="8"/>
      <c r="C20" s="8"/>
    </row>
    <row r="21">
      <c r="A21" s="8"/>
      <c r="B21" s="8"/>
      <c r="C21" s="8"/>
    </row>
    <row r="22">
      <c r="A22" s="8"/>
      <c r="B22" s="8"/>
      <c r="C22" s="8"/>
    </row>
    <row r="23">
      <c r="A23" s="8"/>
      <c r="B23" s="8"/>
      <c r="C23" s="8"/>
    </row>
    <row r="24">
      <c r="A24" s="8"/>
      <c r="B24" s="8"/>
      <c r="C24" s="8"/>
    </row>
    <row r="25">
      <c r="A25" s="8"/>
      <c r="B25" s="8"/>
      <c r="C25" s="8"/>
    </row>
    <row r="26">
      <c r="A26" s="8"/>
      <c r="B26" s="8"/>
      <c r="C26" s="8"/>
    </row>
    <row r="27">
      <c r="A27" s="8"/>
      <c r="B27" s="8"/>
      <c r="C27" s="8"/>
    </row>
    <row r="28">
      <c r="A28" s="8"/>
      <c r="B28" s="8"/>
      <c r="C28" s="8"/>
    </row>
    <row r="29">
      <c r="A29" s="8"/>
      <c r="B29" s="8"/>
      <c r="C29" s="8"/>
    </row>
    <row r="30">
      <c r="A30" s="8"/>
      <c r="B30" s="8"/>
      <c r="C30" s="8"/>
    </row>
    <row r="31">
      <c r="A31" s="8"/>
      <c r="B31" s="8"/>
      <c r="C31" s="8"/>
    </row>
    <row r="32">
      <c r="A32" s="8"/>
      <c r="B32" s="8"/>
      <c r="C32" s="8"/>
    </row>
    <row r="33">
      <c r="A33" s="8"/>
      <c r="B33" s="8"/>
      <c r="C33" s="8"/>
    </row>
    <row r="34">
      <c r="A34" s="8"/>
      <c r="B34" s="8"/>
      <c r="C34" s="8"/>
    </row>
    <row r="35">
      <c r="A35" s="8"/>
      <c r="B35" s="8"/>
      <c r="C35" s="8"/>
    </row>
    <row r="36">
      <c r="A36" s="8"/>
      <c r="B36" s="8"/>
      <c r="C36" s="8"/>
    </row>
    <row r="37">
      <c r="A37" s="8"/>
      <c r="B37" s="8"/>
      <c r="C37" s="8"/>
    </row>
    <row r="38">
      <c r="A38" s="8"/>
      <c r="B38" s="8"/>
      <c r="C38" s="8"/>
    </row>
    <row r="39">
      <c r="A39" s="8"/>
      <c r="B39" s="8"/>
      <c r="C39" s="8"/>
    </row>
    <row r="40">
      <c r="A40" s="8"/>
      <c r="B40" s="8"/>
      <c r="C40" s="8"/>
    </row>
    <row r="41">
      <c r="A41" s="8"/>
      <c r="B41" s="8"/>
      <c r="C41" s="8"/>
    </row>
    <row r="42">
      <c r="A42" s="8"/>
      <c r="B42" s="8"/>
      <c r="C42" s="8"/>
    </row>
    <row r="43">
      <c r="A43" s="8"/>
      <c r="B43" s="8"/>
      <c r="C43" s="8"/>
    </row>
    <row r="44">
      <c r="A44" s="8"/>
      <c r="B44" s="8"/>
      <c r="C44" s="8"/>
    </row>
    <row r="45">
      <c r="A45" s="8"/>
      <c r="B45" s="8"/>
      <c r="C45" s="8"/>
    </row>
    <row r="46">
      <c r="A46" s="8"/>
      <c r="B46" s="8"/>
      <c r="C46" s="8"/>
    </row>
    <row r="47">
      <c r="A47" s="8"/>
      <c r="B47" s="8"/>
      <c r="C47" s="8"/>
    </row>
    <row r="48">
      <c r="A48" s="8"/>
      <c r="B48" s="8"/>
      <c r="C48" s="8"/>
    </row>
    <row r="49">
      <c r="A49" s="8"/>
      <c r="B49" s="8"/>
      <c r="C49" s="8"/>
    </row>
    <row r="50">
      <c r="A50" s="8"/>
      <c r="B50" s="8"/>
      <c r="C50" s="8"/>
    </row>
    <row r="51">
      <c r="A51" s="8"/>
      <c r="B51" s="8"/>
      <c r="C51" s="8"/>
    </row>
    <row r="52">
      <c r="A52" s="8"/>
      <c r="B52" s="8"/>
      <c r="C52" s="8"/>
    </row>
    <row r="53">
      <c r="A53" s="8"/>
      <c r="B53" s="8"/>
      <c r="C53" s="8"/>
    </row>
    <row r="54">
      <c r="A54" s="8"/>
      <c r="B54" s="8"/>
      <c r="C54" s="8"/>
    </row>
    <row r="55">
      <c r="A55" s="8"/>
      <c r="B55" s="8"/>
      <c r="C55" s="8"/>
    </row>
    <row r="56">
      <c r="A56" s="8"/>
      <c r="B56" s="8"/>
      <c r="C56" s="8"/>
    </row>
    <row r="57">
      <c r="A57" s="8"/>
      <c r="B57" s="8"/>
      <c r="C57" s="8"/>
    </row>
    <row r="58">
      <c r="A58" s="8"/>
      <c r="B58" s="8"/>
      <c r="C58" s="8"/>
    </row>
    <row r="59">
      <c r="A59" s="8"/>
      <c r="B59" s="8"/>
      <c r="C59" s="8"/>
    </row>
    <row r="60">
      <c r="A60" s="8"/>
      <c r="B60" s="8"/>
      <c r="C60" s="8"/>
    </row>
    <row r="61">
      <c r="A61" s="8"/>
      <c r="B61" s="8"/>
      <c r="C61" s="8"/>
    </row>
    <row r="62">
      <c r="A62" s="8"/>
      <c r="B62" s="8"/>
      <c r="C62" s="8"/>
    </row>
    <row r="63">
      <c r="A63" s="8"/>
      <c r="B63" s="8"/>
      <c r="C63" s="8"/>
    </row>
    <row r="64">
      <c r="A64" s="8"/>
      <c r="B64" s="8"/>
      <c r="C64" s="8"/>
    </row>
    <row r="65">
      <c r="A65" s="8"/>
      <c r="B65" s="8"/>
      <c r="C65" s="8"/>
    </row>
    <row r="66">
      <c r="A66" s="8"/>
      <c r="B66" s="8"/>
      <c r="C66" s="8"/>
    </row>
    <row r="67">
      <c r="A67" s="8"/>
      <c r="B67" s="8"/>
      <c r="C67" s="8"/>
    </row>
    <row r="68">
      <c r="A68" s="8"/>
      <c r="B68" s="8"/>
      <c r="C68" s="8"/>
    </row>
    <row r="69">
      <c r="A69" s="8"/>
      <c r="B69" s="8"/>
      <c r="C69" s="8"/>
    </row>
    <row r="70">
      <c r="A70" s="8"/>
      <c r="B70" s="8"/>
      <c r="C70" s="8"/>
    </row>
    <row r="71">
      <c r="A71" s="8"/>
      <c r="B71" s="8"/>
      <c r="C71" s="8"/>
    </row>
    <row r="72">
      <c r="A72" s="8"/>
      <c r="B72" s="8"/>
      <c r="C72" s="8"/>
    </row>
    <row r="73">
      <c r="A73" s="8"/>
      <c r="B73" s="8"/>
      <c r="C73" s="8"/>
    </row>
    <row r="74">
      <c r="A74" s="8"/>
      <c r="B74" s="8"/>
      <c r="C74" s="8"/>
    </row>
    <row r="75">
      <c r="A75" s="8"/>
      <c r="B75" s="8"/>
      <c r="C75" s="8"/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  <row r="141">
      <c r="A141" s="8"/>
      <c r="B141" s="8"/>
      <c r="C141" s="8"/>
    </row>
    <row r="142">
      <c r="A142" s="8"/>
      <c r="B142" s="8"/>
      <c r="C142" s="8"/>
    </row>
    <row r="143">
      <c r="A143" s="8"/>
      <c r="B143" s="8"/>
      <c r="C143" s="8"/>
    </row>
    <row r="144">
      <c r="A144" s="8"/>
      <c r="B144" s="8"/>
      <c r="C144" s="8"/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  <row r="989">
      <c r="A989" s="8"/>
      <c r="B989" s="8"/>
      <c r="C989" s="8"/>
    </row>
    <row r="990">
      <c r="A990" s="8"/>
      <c r="B990" s="8"/>
      <c r="C990" s="8"/>
    </row>
    <row r="991">
      <c r="A991" s="8"/>
      <c r="B991" s="8"/>
      <c r="C991" s="8"/>
    </row>
    <row r="992">
      <c r="A992" s="8"/>
      <c r="B992" s="8"/>
      <c r="C992" s="8"/>
    </row>
    <row r="993">
      <c r="A993" s="8"/>
      <c r="B993" s="8"/>
      <c r="C993" s="8"/>
    </row>
    <row r="994">
      <c r="A994" s="8"/>
      <c r="B994" s="8"/>
      <c r="C994" s="8"/>
    </row>
    <row r="995">
      <c r="A995" s="8"/>
      <c r="B995" s="8"/>
      <c r="C995" s="8"/>
    </row>
    <row r="996">
      <c r="A996" s="8"/>
      <c r="B996" s="8"/>
      <c r="C996" s="8"/>
    </row>
    <row r="997">
      <c r="A997" s="8"/>
      <c r="B997" s="8"/>
      <c r="C997" s="8"/>
    </row>
    <row r="998">
      <c r="A998" s="8"/>
      <c r="B998" s="8"/>
      <c r="C998" s="8"/>
    </row>
    <row r="999">
      <c r="A999" s="8"/>
      <c r="B999" s="8"/>
      <c r="C999" s="8"/>
    </row>
    <row r="1000">
      <c r="A1000" s="8"/>
      <c r="B1000" s="8"/>
      <c r="C1000" s="8"/>
    </row>
  </sheetData>
  <mergeCells count="1">
    <mergeCell ref="A1:D1"/>
  </mergeCells>
  <drawing r:id="rId1"/>
</worksheet>
</file>
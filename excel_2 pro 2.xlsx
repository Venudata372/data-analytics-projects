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cuments\"/>
    </mc:Choice>
  </mc:AlternateContent>
  <bookViews>
    <workbookView xWindow="0" yWindow="0" windowWidth="19200" windowHeight="6350" activeTab="1"/>
  </bookViews>
  <sheets>
    <sheet name="pivot table" sheetId="2" r:id="rId1"/>
    <sheet name="Dashboard" sheetId="4" r:id="rId2"/>
    <sheet name="data" sheetId="1" r:id="rId3"/>
  </sheets>
  <definedNames>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4" l="1"/>
  <c r="F3" i="4"/>
  <c r="D3" i="4"/>
  <c r="B3" i="4"/>
</calcChain>
</file>

<file path=xl/sharedStrings.xml><?xml version="1.0" encoding="utf-8"?>
<sst xmlns="http://schemas.openxmlformats.org/spreadsheetml/2006/main" count="48" uniqueCount="31">
  <si>
    <t>Name</t>
  </si>
  <si>
    <t>Department</t>
  </si>
  <si>
    <t>Region</t>
  </si>
  <si>
    <t>Sales</t>
  </si>
  <si>
    <t>Profit</t>
  </si>
  <si>
    <t>John</t>
  </si>
  <si>
    <t>East</t>
  </si>
  <si>
    <t>Priya</t>
  </si>
  <si>
    <t>Marketing</t>
  </si>
  <si>
    <t>West</t>
  </si>
  <si>
    <t>Ravi</t>
  </si>
  <si>
    <t>North</t>
  </si>
  <si>
    <t>Sneha</t>
  </si>
  <si>
    <t>HR</t>
  </si>
  <si>
    <t>South</t>
  </si>
  <si>
    <t>Kiran</t>
  </si>
  <si>
    <t>Amit</t>
  </si>
  <si>
    <t>Sara</t>
  </si>
  <si>
    <t>Raj</t>
  </si>
  <si>
    <t>Neha</t>
  </si>
  <si>
    <t>Vijay</t>
  </si>
  <si>
    <t></t>
  </si>
  <si>
    <t></t>
  </si>
  <si>
    <t>Row Labels</t>
  </si>
  <si>
    <t>Grand Total</t>
  </si>
  <si>
    <t>Sum of Profit</t>
  </si>
  <si>
    <t>Sales Performance Dashboard</t>
  </si>
  <si>
    <t>Best Department</t>
  </si>
  <si>
    <t>Total Employees</t>
  </si>
  <si>
    <t xml:space="preserve">Total Sales </t>
  </si>
  <si>
    <t>Top performer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</si>
</sst>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scheme val="minor"/>
    </font>
    <font>
      <b/>
      <sz val="11"/>
      <color theme="1"/>
      <name val="Calibri"/>
      <family val="2"/>
      <scheme val="minor"/>
    </font>
    <font>
      <sz val="10"/>
      <color theme="1"/>
      <name val="Var(--font-anthropicons, Anthro"/>
    </font>
    <font>
      <sz val="6"/>
      <color theme="1"/>
      <name val="Var(--font-anthropicons, Anthro"/>
    </font>
    <font>
      <sz val="8"/>
      <color theme="1"/>
      <name val="Var(--font-anthropicons, Anthro"/>
    </font>
    <font>
      <u/>
      <sz val="11"/>
      <color theme="10"/>
      <name val="Calibri"/>
      <family val="2"/>
      <scheme val="minor"/>
    </font>
    <font>
      <b/>
      <sz val="20"/>
      <color theme="8"/>
      <name val="Calibri"/>
      <family val="2"/>
      <scheme val="minor"/>
    </font>
    <font>
      <sz val="12"/>
      <color theme="0"/>
      <name val="Times New Roman"/>
      <family val="1"/>
    </font>
    <font>
      <sz val="28"/>
      <color theme="0"/>
      <name val="Times New Roman"/>
      <family val="1"/>
    </font>
    <font>
      <sz val="11"/>
      <color theme="0"/>
      <name val="Times New Roman"/>
      <family val="1"/>
    </font>
  </fonts>
  <fills count="7">
    <fill>
      <patternFill patternType="none"/>
    </fill>
    <fill>
      <patternFill patternType="gray125"/>
    </fill>
    <fill>
      <patternFill patternType="solid">
        <fgColor theme="4" tint="0.39997558519241921"/>
        <bgColor indexed="64"/>
      </patternFill>
    </fill>
    <fill>
      <patternFill patternType="solid">
        <fgColor theme="5"/>
        <bgColor indexed="64"/>
      </patternFill>
    </fill>
    <fill>
      <patternFill patternType="solid">
        <fgColor theme="0"/>
        <bgColor indexed="64"/>
      </patternFill>
    </fill>
    <fill>
      <patternFill patternType="solid">
        <fgColor theme="9"/>
        <bgColor indexed="64"/>
      </patternFill>
    </fill>
    <fill>
      <patternFill patternType="solid">
        <fgColor rgb="FF9966FF"/>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2" fillId="0" borderId="0" xfId="0" applyFont="1"/>
    <xf numFmtId="0" fontId="5" fillId="0" borderId="0" xfId="1"/>
    <xf numFmtId="0" fontId="3" fillId="0" borderId="0" xfId="0" applyFont="1"/>
    <xf numFmtId="0" fontId="4" fillId="0" borderId="0" xfId="0" applyFont="1"/>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xf numFmtId="0" fontId="7" fillId="3" borderId="0" xfId="0" applyFont="1" applyFill="1" applyAlignment="1">
      <alignment horizontal="center"/>
    </xf>
    <xf numFmtId="0" fontId="7" fillId="2" borderId="0" xfId="0" applyFont="1" applyFill="1" applyAlignment="1">
      <alignment horizontal="center"/>
    </xf>
    <xf numFmtId="0" fontId="7" fillId="5" borderId="0" xfId="0" applyFont="1" applyFill="1" applyAlignment="1">
      <alignment horizontal="center"/>
    </xf>
    <xf numFmtId="0" fontId="9" fillId="6" borderId="0" xfId="0" applyFont="1" applyFill="1" applyAlignment="1">
      <alignment horizontal="center"/>
    </xf>
    <xf numFmtId="0" fontId="6" fillId="4" borderId="0" xfId="0" applyFont="1" applyFill="1" applyAlignment="1">
      <alignment horizontal="center"/>
    </xf>
    <xf numFmtId="0" fontId="8" fillId="2" borderId="0" xfId="0" applyFont="1" applyFill="1" applyAlignment="1">
      <alignment horizontal="center"/>
    </xf>
    <xf numFmtId="0" fontId="8" fillId="3" borderId="0" xfId="0" applyFont="1" applyFill="1" applyAlignment="1">
      <alignment horizontal="center"/>
    </xf>
    <xf numFmtId="0" fontId="8" fillId="5" borderId="0" xfId="0" applyFont="1" applyFill="1" applyAlignment="1">
      <alignment horizontal="center"/>
    </xf>
    <xf numFmtId="0" fontId="8" fillId="6"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[excel_2 pro 2.xlsx]pivot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Department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HR</c:v>
                </c:pt>
                <c:pt idx="1">
                  <c:v>Marketing</c:v>
                </c:pt>
                <c:pt idx="2">
                  <c:v>Sales</c:v>
                </c:pt>
              </c:strCache>
            </c:strRef>
          </c:cat>
          <c:val>
            <c:numRef>
              <c:f>'pivot table'!$B$4:$B$7</c:f>
              <c:numCache>
                <c:formatCode>General</c:formatCode>
                <c:ptCount val="3"/>
                <c:pt idx="0">
                  <c:v>930</c:v>
                </c:pt>
                <c:pt idx="1">
                  <c:v>2550</c:v>
                </c:pt>
                <c:pt idx="2">
                  <c:v>2470</c:v>
                </c:pt>
              </c:numCache>
            </c:numRef>
          </c:val>
          <c:extLst>
            <c:ext xmlns:c16="http://schemas.microsoft.com/office/drawing/2014/chart" uri="{C3380CC4-5D6E-409C-BE32-E72D297353CC}">
              <c16:uniqueId val="{00000001-B35D-4964-B695-10FB9AD4C188}"/>
            </c:ext>
          </c:extLst>
        </c:ser>
        <c:dLbls>
          <c:showLegendKey val="0"/>
          <c:showVal val="0"/>
          <c:showCatName val="0"/>
          <c:showSerName val="0"/>
          <c:showPercent val="0"/>
          <c:showBubbleSize val="0"/>
        </c:dLbls>
        <c:gapWidth val="219"/>
        <c:overlap val="-27"/>
        <c:axId val="564970448"/>
        <c:axId val="564967536"/>
      </c:barChart>
      <c:catAx>
        <c:axId val="56497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67536"/>
        <c:crosses val="autoZero"/>
        <c:auto val="1"/>
        <c:lblAlgn val="ctr"/>
        <c:lblOffset val="100"/>
        <c:noMultiLvlLbl val="0"/>
      </c:catAx>
      <c:valAx>
        <c:axId val="5649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70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[excel_2 pro 2.xlsx]pivot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HR</c:v>
                </c:pt>
                <c:pt idx="1">
                  <c:v>Marketing</c:v>
                </c:pt>
                <c:pt idx="2">
                  <c:v>Sales</c:v>
                </c:pt>
              </c:strCache>
            </c:strRef>
          </c:cat>
          <c:val>
            <c:numRef>
              <c:f>'pivot table'!$B$4:$B$7</c:f>
              <c:numCache>
                <c:formatCode>General</c:formatCode>
                <c:ptCount val="3"/>
                <c:pt idx="0">
                  <c:v>930</c:v>
                </c:pt>
                <c:pt idx="1">
                  <c:v>2550</c:v>
                </c:pt>
                <c:pt idx="2">
                  <c:v>2470</c:v>
                </c:pt>
              </c:numCache>
            </c:numRef>
          </c:val>
          <c:extLst>
            <c:ext xmlns:c16="http://schemas.microsoft.com/office/drawing/2014/chart" uri="{C3380CC4-5D6E-409C-BE32-E72D297353CC}">
              <c16:uniqueId val="{00000001-C43D-4915-A5E6-ACF3CB229D73}"/>
            </c:ext>
          </c:extLst>
        </c:ser>
        <c:dLbls>
          <c:showLegendKey val="0"/>
          <c:showVal val="0"/>
          <c:showCatName val="0"/>
          <c:showSerName val="0"/>
          <c:showPercent val="0"/>
          <c:showBubbleSize val="0"/>
        </c:dLbls>
        <c:gapWidth val="219"/>
        <c:overlap val="-27"/>
        <c:axId val="564970448"/>
        <c:axId val="564967536"/>
      </c:barChart>
      <c:catAx>
        <c:axId val="56497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67536"/>
        <c:crosses val="autoZero"/>
        <c:auto val="1"/>
        <c:lblAlgn val="ctr"/>
        <c:lblOffset val="100"/>
        <c:noMultiLvlLbl val="0"/>
      </c:catAx>
      <c:valAx>
        <c:axId val="5649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70448"/>
        <c:crosses val="autoZero"/>
        <c:crossBetween val="between"/>
      </c:valAx>
      <c:spPr>
        <a:solidFill>
          <a:schemeClr val="bg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r>
              <a:rPr lang="en-IN" baseline="0"/>
              <a:t>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3197082339243"/>
          <c:y val="0.23352441914108371"/>
          <c:w val="0.81797205018169095"/>
          <c:h val="0.6655076574120673"/>
        </c:manualLayout>
      </c:layout>
      <c:barChart>
        <c:barDir val="col"/>
        <c:grouping val="clustered"/>
        <c:varyColors val="0"/>
        <c:ser>
          <c:idx val="0"/>
          <c:order val="0"/>
          <c:tx>
            <c:strRef>
              <c:f>data!$D$1</c:f>
              <c:strCache>
                <c:ptCount val="1"/>
                <c:pt idx="0">
                  <c:v>Sales</c:v>
                </c:pt>
              </c:strCache>
            </c:strRef>
          </c:tx>
          <c:spPr>
            <a:solidFill>
              <a:schemeClr val="accent2"/>
            </a:solidFill>
            <a:ln>
              <a:noFill/>
            </a:ln>
            <a:effectLst/>
          </c:spPr>
          <c:invertIfNegative val="0"/>
          <c:cat>
            <c:strRef>
              <c:f>data!$C$2:$C$11</c:f>
              <c:strCache>
                <c:ptCount val="10"/>
                <c:pt idx="0">
                  <c:v>East</c:v>
                </c:pt>
                <c:pt idx="1">
                  <c:v>West</c:v>
                </c:pt>
                <c:pt idx="2">
                  <c:v>North</c:v>
                </c:pt>
                <c:pt idx="3">
                  <c:v>South</c:v>
                </c:pt>
                <c:pt idx="4">
                  <c:v>East</c:v>
                </c:pt>
                <c:pt idx="5">
                  <c:v>West</c:v>
                </c:pt>
                <c:pt idx="6">
                  <c:v>North</c:v>
                </c:pt>
                <c:pt idx="7">
                  <c:v>South</c:v>
                </c:pt>
                <c:pt idx="8">
                  <c:v>East</c:v>
                </c:pt>
                <c:pt idx="9">
                  <c:v>West</c:v>
                </c:pt>
              </c:strCache>
            </c:strRef>
          </c:cat>
          <c:val>
            <c:numRef>
              <c:f>data!$D$2:$D$11</c:f>
              <c:numCache>
                <c:formatCode>General</c:formatCode>
                <c:ptCount val="10"/>
                <c:pt idx="0">
                  <c:v>5000</c:v>
                </c:pt>
                <c:pt idx="1">
                  <c:v>8000</c:v>
                </c:pt>
                <c:pt idx="2">
                  <c:v>6500</c:v>
                </c:pt>
                <c:pt idx="3">
                  <c:v>3000</c:v>
                </c:pt>
                <c:pt idx="4">
                  <c:v>9000</c:v>
                </c:pt>
                <c:pt idx="5">
                  <c:v>7200</c:v>
                </c:pt>
                <c:pt idx="6">
                  <c:v>2800</c:v>
                </c:pt>
                <c:pt idx="7">
                  <c:v>8500</c:v>
                </c:pt>
                <c:pt idx="8">
                  <c:v>6000</c:v>
                </c:pt>
                <c:pt idx="9">
                  <c:v>3500</c:v>
                </c:pt>
              </c:numCache>
            </c:numRef>
          </c:val>
          <c:extLst>
            <c:ext xmlns:c16="http://schemas.microsoft.com/office/drawing/2014/chart" uri="{C3380CC4-5D6E-409C-BE32-E72D297353CC}">
              <c16:uniqueId val="{00000000-835B-4963-A311-1BF8D70DD8AE}"/>
            </c:ext>
          </c:extLst>
        </c:ser>
        <c:dLbls>
          <c:showLegendKey val="0"/>
          <c:showVal val="0"/>
          <c:showCatName val="0"/>
          <c:showSerName val="0"/>
          <c:showPercent val="0"/>
          <c:showBubbleSize val="0"/>
        </c:dLbls>
        <c:gapWidth val="219"/>
        <c:overlap val="-27"/>
        <c:axId val="433887776"/>
        <c:axId val="433891104"/>
      </c:barChart>
      <c:catAx>
        <c:axId val="43388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91104"/>
        <c:crosses val="autoZero"/>
        <c:auto val="1"/>
        <c:lblAlgn val="ctr"/>
        <c:lblOffset val="100"/>
        <c:noMultiLvlLbl val="0"/>
      </c:catAx>
      <c:valAx>
        <c:axId val="43389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877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[excel_2 pro 2.xlsx]pivot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Department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4"/>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4"/>
            </a:solidFill>
            <a:ln>
              <a:noFill/>
            </a:ln>
            <a:effectLst/>
          </c:spPr>
          <c:invertIfNegative val="0"/>
          <c:cat>
            <c:strRef>
              <c:f>'pivot table'!$A$4:$A$7</c:f>
              <c:strCache>
                <c:ptCount val="3"/>
                <c:pt idx="0">
                  <c:v>HR</c:v>
                </c:pt>
                <c:pt idx="1">
                  <c:v>Marketing</c:v>
                </c:pt>
                <c:pt idx="2">
                  <c:v>Sales</c:v>
                </c:pt>
              </c:strCache>
            </c:strRef>
          </c:cat>
          <c:val>
            <c:numRef>
              <c:f>'pivot table'!$B$4:$B$7</c:f>
              <c:numCache>
                <c:formatCode>General</c:formatCode>
                <c:ptCount val="3"/>
                <c:pt idx="0">
                  <c:v>930</c:v>
                </c:pt>
                <c:pt idx="1">
                  <c:v>2550</c:v>
                </c:pt>
                <c:pt idx="2">
                  <c:v>2470</c:v>
                </c:pt>
              </c:numCache>
            </c:numRef>
          </c:val>
          <c:extLst>
            <c:ext xmlns:c16="http://schemas.microsoft.com/office/drawing/2014/chart" uri="{C3380CC4-5D6E-409C-BE32-E72D297353CC}">
              <c16:uniqueId val="{00000000-6DC9-4F2E-8D29-7E5B5B389AAF}"/>
            </c:ext>
          </c:extLst>
        </c:ser>
        <c:dLbls>
          <c:showLegendKey val="0"/>
          <c:showVal val="0"/>
          <c:showCatName val="0"/>
          <c:showSerName val="0"/>
          <c:showPercent val="0"/>
          <c:showBubbleSize val="0"/>
        </c:dLbls>
        <c:gapWidth val="219"/>
        <c:overlap val="-27"/>
        <c:axId val="564970448"/>
        <c:axId val="564967536"/>
      </c:barChart>
      <c:catAx>
        <c:axId val="56497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67536"/>
        <c:crosses val="autoZero"/>
        <c:auto val="1"/>
        <c:lblAlgn val="ctr"/>
        <c:lblOffset val="100"/>
        <c:noMultiLvlLbl val="0"/>
      </c:catAx>
      <c:valAx>
        <c:axId val="5649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70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Profit by Department</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data!$E$1</c:f>
              <c:strCache>
                <c:ptCount val="1"/>
                <c:pt idx="0">
                  <c:v>Profit</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8"/>
            <c:invertIfNegative val="0"/>
            <c:bubble3D val="0"/>
            <c:extLst>
              <c:ext xmlns:c16="http://schemas.microsoft.com/office/drawing/2014/chart" uri="{C3380CC4-5D6E-409C-BE32-E72D297353CC}">
                <c16:uniqueId val="{00000001-8308-4AA1-A38D-AF529105FD9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data!$B$2:$B$11</c:f>
              <c:strCache>
                <c:ptCount val="10"/>
                <c:pt idx="0">
                  <c:v>Sales</c:v>
                </c:pt>
                <c:pt idx="1">
                  <c:v>Marketing</c:v>
                </c:pt>
                <c:pt idx="2">
                  <c:v>Sales</c:v>
                </c:pt>
                <c:pt idx="3">
                  <c:v>HR</c:v>
                </c:pt>
                <c:pt idx="4">
                  <c:v>Marketing</c:v>
                </c:pt>
                <c:pt idx="5">
                  <c:v>Sales</c:v>
                </c:pt>
                <c:pt idx="6">
                  <c:v>HR</c:v>
                </c:pt>
                <c:pt idx="7">
                  <c:v>Marketing</c:v>
                </c:pt>
                <c:pt idx="8">
                  <c:v>Sales</c:v>
                </c:pt>
                <c:pt idx="9">
                  <c:v>HR</c:v>
                </c:pt>
              </c:strCache>
            </c:strRef>
          </c:cat>
          <c:val>
            <c:numRef>
              <c:f>data!$E$2:$E$11</c:f>
              <c:numCache>
                <c:formatCode>General</c:formatCode>
                <c:ptCount val="10"/>
                <c:pt idx="0">
                  <c:v>500</c:v>
                </c:pt>
                <c:pt idx="1">
                  <c:v>800</c:v>
                </c:pt>
                <c:pt idx="2">
                  <c:v>650</c:v>
                </c:pt>
                <c:pt idx="3">
                  <c:v>300</c:v>
                </c:pt>
                <c:pt idx="4">
                  <c:v>900</c:v>
                </c:pt>
                <c:pt idx="5">
                  <c:v>720</c:v>
                </c:pt>
                <c:pt idx="6">
                  <c:v>280</c:v>
                </c:pt>
                <c:pt idx="7">
                  <c:v>850</c:v>
                </c:pt>
                <c:pt idx="8">
                  <c:v>600</c:v>
                </c:pt>
                <c:pt idx="9">
                  <c:v>350</c:v>
                </c:pt>
              </c:numCache>
            </c:numRef>
          </c:val>
          <c:extLst>
            <c:ext xmlns:c16="http://schemas.microsoft.com/office/drawing/2014/chart" uri="{C3380CC4-5D6E-409C-BE32-E72D297353CC}">
              <c16:uniqueId val="{00000000-8308-4AA1-A38D-AF529105FD98}"/>
            </c:ext>
          </c:extLst>
        </c:ser>
        <c:dLbls>
          <c:dLblPos val="inEnd"/>
          <c:showLegendKey val="0"/>
          <c:showVal val="1"/>
          <c:showCatName val="0"/>
          <c:showSerName val="0"/>
          <c:showPercent val="0"/>
          <c:showBubbleSize val="0"/>
        </c:dLbls>
        <c:gapWidth val="41"/>
        <c:axId val="27093184"/>
        <c:axId val="27091936"/>
      </c:barChart>
      <c:catAx>
        <c:axId val="2709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7091936"/>
        <c:crosses val="autoZero"/>
        <c:auto val="1"/>
        <c:lblAlgn val="ctr"/>
        <c:lblOffset val="100"/>
        <c:noMultiLvlLbl val="0"/>
      </c:catAx>
      <c:valAx>
        <c:axId val="27091936"/>
        <c:scaling>
          <c:orientation val="minMax"/>
        </c:scaling>
        <c:delete val="1"/>
        <c:axPos val="l"/>
        <c:numFmt formatCode="General" sourceLinked="1"/>
        <c:majorTickMark val="none"/>
        <c:minorTickMark val="none"/>
        <c:tickLblPos val="nextTo"/>
        <c:crossAx val="2709318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Name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692038495188101E-2"/>
          <c:y val="0.19486111111111112"/>
          <c:w val="0.86486351706036746"/>
          <c:h val="0.72088764946048411"/>
        </c:manualLayout>
      </c:layout>
      <c:barChart>
        <c:barDir val="col"/>
        <c:grouping val="stacked"/>
        <c:varyColors val="0"/>
        <c:ser>
          <c:idx val="0"/>
          <c:order val="0"/>
          <c:tx>
            <c:strRef>
              <c:f>data!$D$1</c:f>
              <c:strCache>
                <c:ptCount val="1"/>
                <c:pt idx="0">
                  <c:v>Sales</c:v>
                </c:pt>
              </c:strCache>
            </c:strRef>
          </c:tx>
          <c:spPr>
            <a:solidFill>
              <a:schemeClr val="accent1"/>
            </a:solidFill>
            <a:ln>
              <a:noFill/>
            </a:ln>
            <a:effectLst/>
          </c:spPr>
          <c:invertIfNegative val="0"/>
          <c:cat>
            <c:strRef>
              <c:f>data!$A$2:$A$11</c:f>
              <c:strCache>
                <c:ptCount val="10"/>
                <c:pt idx="0">
                  <c:v>John</c:v>
                </c:pt>
                <c:pt idx="1">
                  <c:v>Priya</c:v>
                </c:pt>
                <c:pt idx="2">
                  <c:v>Ravi</c:v>
                </c:pt>
                <c:pt idx="3">
                  <c:v>Sneha</c:v>
                </c:pt>
                <c:pt idx="4">
                  <c:v>Kiran</c:v>
                </c:pt>
                <c:pt idx="5">
                  <c:v>Amit</c:v>
                </c:pt>
                <c:pt idx="6">
                  <c:v>Sara</c:v>
                </c:pt>
                <c:pt idx="7">
                  <c:v>Raj</c:v>
                </c:pt>
                <c:pt idx="8">
                  <c:v>Neha</c:v>
                </c:pt>
                <c:pt idx="9">
                  <c:v>Vijay</c:v>
                </c:pt>
              </c:strCache>
            </c:strRef>
          </c:cat>
          <c:val>
            <c:numRef>
              <c:f>data!$D$2:$D$11</c:f>
              <c:numCache>
                <c:formatCode>General</c:formatCode>
                <c:ptCount val="10"/>
                <c:pt idx="0">
                  <c:v>5000</c:v>
                </c:pt>
                <c:pt idx="1">
                  <c:v>8000</c:v>
                </c:pt>
                <c:pt idx="2">
                  <c:v>6500</c:v>
                </c:pt>
                <c:pt idx="3">
                  <c:v>3000</c:v>
                </c:pt>
                <c:pt idx="4">
                  <c:v>9000</c:v>
                </c:pt>
                <c:pt idx="5">
                  <c:v>7200</c:v>
                </c:pt>
                <c:pt idx="6">
                  <c:v>2800</c:v>
                </c:pt>
                <c:pt idx="7">
                  <c:v>8500</c:v>
                </c:pt>
                <c:pt idx="8">
                  <c:v>6000</c:v>
                </c:pt>
                <c:pt idx="9">
                  <c:v>3500</c:v>
                </c:pt>
              </c:numCache>
            </c:numRef>
          </c:val>
          <c:extLst>
            <c:ext xmlns:c16="http://schemas.microsoft.com/office/drawing/2014/chart" uri="{C3380CC4-5D6E-409C-BE32-E72D297353CC}">
              <c16:uniqueId val="{00000000-A025-4E6D-90C9-119086758439}"/>
            </c:ext>
          </c:extLst>
        </c:ser>
        <c:dLbls>
          <c:showLegendKey val="0"/>
          <c:showVal val="0"/>
          <c:showCatName val="0"/>
          <c:showSerName val="0"/>
          <c:showPercent val="0"/>
          <c:showBubbleSize val="0"/>
        </c:dLbls>
        <c:gapWidth val="219"/>
        <c:overlap val="100"/>
        <c:axId val="27107744"/>
        <c:axId val="27091520"/>
      </c:barChart>
      <c:catAx>
        <c:axId val="271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1520"/>
        <c:crosses val="autoZero"/>
        <c:auto val="1"/>
        <c:lblAlgn val="ctr"/>
        <c:lblOffset val="100"/>
        <c:noMultiLvlLbl val="0"/>
      </c:catAx>
      <c:valAx>
        <c:axId val="2709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r>
              <a:rPr lang="en-IN" baseline="0"/>
              <a:t>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Sales</c:v>
                </c:pt>
              </c:strCache>
            </c:strRef>
          </c:tx>
          <c:spPr>
            <a:solidFill>
              <a:schemeClr val="accent1"/>
            </a:solidFill>
            <a:ln>
              <a:noFill/>
            </a:ln>
            <a:effectLst/>
          </c:spPr>
          <c:invertIfNegative val="0"/>
          <c:cat>
            <c:strRef>
              <c:f>data!$C$2:$C$11</c:f>
              <c:strCache>
                <c:ptCount val="10"/>
                <c:pt idx="0">
                  <c:v>East</c:v>
                </c:pt>
                <c:pt idx="1">
                  <c:v>West</c:v>
                </c:pt>
                <c:pt idx="2">
                  <c:v>North</c:v>
                </c:pt>
                <c:pt idx="3">
                  <c:v>South</c:v>
                </c:pt>
                <c:pt idx="4">
                  <c:v>East</c:v>
                </c:pt>
                <c:pt idx="5">
                  <c:v>West</c:v>
                </c:pt>
                <c:pt idx="6">
                  <c:v>North</c:v>
                </c:pt>
                <c:pt idx="7">
                  <c:v>South</c:v>
                </c:pt>
                <c:pt idx="8">
                  <c:v>East</c:v>
                </c:pt>
                <c:pt idx="9">
                  <c:v>West</c:v>
                </c:pt>
              </c:strCache>
            </c:strRef>
          </c:cat>
          <c:val>
            <c:numRef>
              <c:f>data!$D$2:$D$11</c:f>
              <c:numCache>
                <c:formatCode>General</c:formatCode>
                <c:ptCount val="10"/>
                <c:pt idx="0">
                  <c:v>5000</c:v>
                </c:pt>
                <c:pt idx="1">
                  <c:v>8000</c:v>
                </c:pt>
                <c:pt idx="2">
                  <c:v>6500</c:v>
                </c:pt>
                <c:pt idx="3">
                  <c:v>3000</c:v>
                </c:pt>
                <c:pt idx="4">
                  <c:v>9000</c:v>
                </c:pt>
                <c:pt idx="5">
                  <c:v>7200</c:v>
                </c:pt>
                <c:pt idx="6">
                  <c:v>2800</c:v>
                </c:pt>
                <c:pt idx="7">
                  <c:v>8500</c:v>
                </c:pt>
                <c:pt idx="8">
                  <c:v>6000</c:v>
                </c:pt>
                <c:pt idx="9">
                  <c:v>3500</c:v>
                </c:pt>
              </c:numCache>
            </c:numRef>
          </c:val>
          <c:extLst>
            <c:ext xmlns:c16="http://schemas.microsoft.com/office/drawing/2014/chart" uri="{C3380CC4-5D6E-409C-BE32-E72D297353CC}">
              <c16:uniqueId val="{00000000-FAE5-4ECE-B9C2-DE8E24B83710}"/>
            </c:ext>
          </c:extLst>
        </c:ser>
        <c:dLbls>
          <c:showLegendKey val="0"/>
          <c:showVal val="0"/>
          <c:showCatName val="0"/>
          <c:showSerName val="0"/>
          <c:showPercent val="0"/>
          <c:showBubbleSize val="0"/>
        </c:dLbls>
        <c:gapWidth val="219"/>
        <c:overlap val="-27"/>
        <c:axId val="433887776"/>
        <c:axId val="433891104"/>
      </c:barChart>
      <c:catAx>
        <c:axId val="43388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91104"/>
        <c:crosses val="autoZero"/>
        <c:auto val="1"/>
        <c:lblAlgn val="ctr"/>
        <c:lblOffset val="100"/>
        <c:noMultiLvlLbl val="0"/>
      </c:catAx>
      <c:valAx>
        <c:axId val="43389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8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58092738407699"/>
          <c:y val="0.12265055409740447"/>
          <c:w val="0.87753018372703417"/>
          <c:h val="0.56587379702537177"/>
        </c:manualLayout>
      </c:layout>
      <c:barChart>
        <c:barDir val="col"/>
        <c:grouping val="clustered"/>
        <c:varyColors val="0"/>
        <c:ser>
          <c:idx val="0"/>
          <c:order val="0"/>
          <c:tx>
            <c:strRef>
              <c:f>data!$E$1</c:f>
              <c:strCache>
                <c:ptCount val="1"/>
                <c:pt idx="0">
                  <c:v>Profit</c:v>
                </c:pt>
              </c:strCache>
            </c:strRef>
          </c:tx>
          <c:spPr>
            <a:solidFill>
              <a:schemeClr val="accent1"/>
            </a:solidFill>
            <a:ln>
              <a:noFill/>
            </a:ln>
            <a:effectLst/>
          </c:spPr>
          <c:invertIfNegative val="0"/>
          <c:cat>
            <c:strRef>
              <c:f>data!$B$2:$B$11</c:f>
              <c:strCache>
                <c:ptCount val="10"/>
                <c:pt idx="0">
                  <c:v>Sales</c:v>
                </c:pt>
                <c:pt idx="1">
                  <c:v>Marketing</c:v>
                </c:pt>
                <c:pt idx="2">
                  <c:v>Sales</c:v>
                </c:pt>
                <c:pt idx="3">
                  <c:v>HR</c:v>
                </c:pt>
                <c:pt idx="4">
                  <c:v>Marketing</c:v>
                </c:pt>
                <c:pt idx="5">
                  <c:v>Sales</c:v>
                </c:pt>
                <c:pt idx="6">
                  <c:v>HR</c:v>
                </c:pt>
                <c:pt idx="7">
                  <c:v>Marketing</c:v>
                </c:pt>
                <c:pt idx="8">
                  <c:v>Sales</c:v>
                </c:pt>
                <c:pt idx="9">
                  <c:v>HR</c:v>
                </c:pt>
              </c:strCache>
            </c:strRef>
          </c:cat>
          <c:val>
            <c:numRef>
              <c:f>data!$E$2:$E$11</c:f>
              <c:numCache>
                <c:formatCode>General</c:formatCode>
                <c:ptCount val="10"/>
                <c:pt idx="0">
                  <c:v>500</c:v>
                </c:pt>
                <c:pt idx="1">
                  <c:v>800</c:v>
                </c:pt>
                <c:pt idx="2">
                  <c:v>650</c:v>
                </c:pt>
                <c:pt idx="3">
                  <c:v>300</c:v>
                </c:pt>
                <c:pt idx="4">
                  <c:v>900</c:v>
                </c:pt>
                <c:pt idx="5">
                  <c:v>720</c:v>
                </c:pt>
                <c:pt idx="6">
                  <c:v>280</c:v>
                </c:pt>
                <c:pt idx="7">
                  <c:v>850</c:v>
                </c:pt>
                <c:pt idx="8">
                  <c:v>600</c:v>
                </c:pt>
                <c:pt idx="9">
                  <c:v>350</c:v>
                </c:pt>
              </c:numCache>
            </c:numRef>
          </c:val>
          <c:extLst>
            <c:ext xmlns:c16="http://schemas.microsoft.com/office/drawing/2014/chart" uri="{C3380CC4-5D6E-409C-BE32-E72D297353CC}">
              <c16:uniqueId val="{00000000-01BC-4A30-A163-6C576D2D1851}"/>
            </c:ext>
          </c:extLst>
        </c:ser>
        <c:dLbls>
          <c:showLegendKey val="0"/>
          <c:showVal val="0"/>
          <c:showCatName val="0"/>
          <c:showSerName val="0"/>
          <c:showPercent val="0"/>
          <c:showBubbleSize val="0"/>
        </c:dLbls>
        <c:gapWidth val="219"/>
        <c:overlap val="-27"/>
        <c:axId val="27093184"/>
        <c:axId val="27091936"/>
      </c:barChart>
      <c:catAx>
        <c:axId val="270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1936"/>
        <c:crosses val="autoZero"/>
        <c:auto val="1"/>
        <c:lblAlgn val="ctr"/>
        <c:lblOffset val="100"/>
        <c:noMultiLvlLbl val="0"/>
      </c:catAx>
      <c:valAx>
        <c:axId val="2709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692038495188101E-2"/>
          <c:y val="0.19486111111111112"/>
          <c:w val="0.86486351706036746"/>
          <c:h val="0.72088764946048411"/>
        </c:manualLayout>
      </c:layout>
      <c:barChart>
        <c:barDir val="col"/>
        <c:grouping val="clustered"/>
        <c:varyColors val="0"/>
        <c:ser>
          <c:idx val="0"/>
          <c:order val="0"/>
          <c:tx>
            <c:strRef>
              <c:f>data!$D$1</c:f>
              <c:strCache>
                <c:ptCount val="1"/>
                <c:pt idx="0">
                  <c:v>Sales</c:v>
                </c:pt>
              </c:strCache>
            </c:strRef>
          </c:tx>
          <c:spPr>
            <a:solidFill>
              <a:schemeClr val="accent1"/>
            </a:solidFill>
            <a:ln>
              <a:noFill/>
            </a:ln>
            <a:effectLst/>
          </c:spPr>
          <c:invertIfNegative val="0"/>
          <c:cat>
            <c:strRef>
              <c:f>data!$A$2:$A$11</c:f>
              <c:strCache>
                <c:ptCount val="10"/>
                <c:pt idx="0">
                  <c:v>John</c:v>
                </c:pt>
                <c:pt idx="1">
                  <c:v>Priya</c:v>
                </c:pt>
                <c:pt idx="2">
                  <c:v>Ravi</c:v>
                </c:pt>
                <c:pt idx="3">
                  <c:v>Sneha</c:v>
                </c:pt>
                <c:pt idx="4">
                  <c:v>Kiran</c:v>
                </c:pt>
                <c:pt idx="5">
                  <c:v>Amit</c:v>
                </c:pt>
                <c:pt idx="6">
                  <c:v>Sara</c:v>
                </c:pt>
                <c:pt idx="7">
                  <c:v>Raj</c:v>
                </c:pt>
                <c:pt idx="8">
                  <c:v>Neha</c:v>
                </c:pt>
                <c:pt idx="9">
                  <c:v>Vijay</c:v>
                </c:pt>
              </c:strCache>
            </c:strRef>
          </c:cat>
          <c:val>
            <c:numRef>
              <c:f>data!$D$2:$D$11</c:f>
              <c:numCache>
                <c:formatCode>General</c:formatCode>
                <c:ptCount val="10"/>
                <c:pt idx="0">
                  <c:v>5000</c:v>
                </c:pt>
                <c:pt idx="1">
                  <c:v>8000</c:v>
                </c:pt>
                <c:pt idx="2">
                  <c:v>6500</c:v>
                </c:pt>
                <c:pt idx="3">
                  <c:v>3000</c:v>
                </c:pt>
                <c:pt idx="4">
                  <c:v>9000</c:v>
                </c:pt>
                <c:pt idx="5">
                  <c:v>7200</c:v>
                </c:pt>
                <c:pt idx="6">
                  <c:v>2800</c:v>
                </c:pt>
                <c:pt idx="7">
                  <c:v>8500</c:v>
                </c:pt>
                <c:pt idx="8">
                  <c:v>6000</c:v>
                </c:pt>
                <c:pt idx="9">
                  <c:v>3500</c:v>
                </c:pt>
              </c:numCache>
            </c:numRef>
          </c:val>
          <c:extLst>
            <c:ext xmlns:c16="http://schemas.microsoft.com/office/drawing/2014/chart" uri="{C3380CC4-5D6E-409C-BE32-E72D297353CC}">
              <c16:uniqueId val="{00000000-53D8-428B-A0FE-BEFE8D5B72F3}"/>
            </c:ext>
          </c:extLst>
        </c:ser>
        <c:dLbls>
          <c:showLegendKey val="0"/>
          <c:showVal val="0"/>
          <c:showCatName val="0"/>
          <c:showSerName val="0"/>
          <c:showPercent val="0"/>
          <c:showBubbleSize val="0"/>
        </c:dLbls>
        <c:gapWidth val="219"/>
        <c:overlap val="-27"/>
        <c:axId val="27107744"/>
        <c:axId val="27091520"/>
      </c:barChart>
      <c:catAx>
        <c:axId val="271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1520"/>
        <c:crosses val="autoZero"/>
        <c:auto val="1"/>
        <c:lblAlgn val="ctr"/>
        <c:lblOffset val="100"/>
        <c:noMultiLvlLbl val="0"/>
      </c:catAx>
      <c:valAx>
        <c:axId val="2709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450850</xdr:colOff>
      <xdr:row>1</xdr:row>
      <xdr:rowOff>69851</xdr:rowOff>
    </xdr:from>
    <xdr:to>
      <xdr:col>5</xdr:col>
      <xdr:colOff>692150</xdr:colOff>
      <xdr:row>9</xdr:row>
      <xdr:rowOff>165101</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9950" y="254001"/>
              <a:ext cx="1828800"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104775</xdr:colOff>
      <xdr:row>1</xdr:row>
      <xdr:rowOff>79375</xdr:rowOff>
    </xdr:from>
    <xdr:to>
      <xdr:col>10</xdr:col>
      <xdr:colOff>873125</xdr:colOff>
      <xdr:row>16</xdr:row>
      <xdr:rowOff>60325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56243</xdr:colOff>
      <xdr:row>7</xdr:row>
      <xdr:rowOff>81644</xdr:rowOff>
    </xdr:from>
    <xdr:to>
      <xdr:col>4</xdr:col>
      <xdr:colOff>18142</xdr:colOff>
      <xdr:row>20</xdr:row>
      <xdr:rowOff>87691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170844</xdr:colOff>
      <xdr:row>7</xdr:row>
      <xdr:rowOff>90714</xdr:rowOff>
    </xdr:from>
    <xdr:to>
      <xdr:col>11</xdr:col>
      <xdr:colOff>181427</xdr:colOff>
      <xdr:row>21</xdr:row>
      <xdr:rowOff>36286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553357</xdr:colOff>
      <xdr:row>7</xdr:row>
      <xdr:rowOff>63499</xdr:rowOff>
    </xdr:from>
    <xdr:to>
      <xdr:col>19</xdr:col>
      <xdr:colOff>471714</xdr:colOff>
      <xdr:row>22</xdr:row>
      <xdr:rowOff>85271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10762</xdr:colOff>
      <xdr:row>21</xdr:row>
      <xdr:rowOff>129153</xdr:rowOff>
    </xdr:from>
    <xdr:to>
      <xdr:col>4</xdr:col>
      <xdr:colOff>557508</xdr:colOff>
      <xdr:row>36</xdr:row>
      <xdr:rowOff>127861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322882</xdr:colOff>
      <xdr:row>22</xdr:row>
      <xdr:rowOff>0</xdr:rowOff>
    </xdr:from>
    <xdr:to>
      <xdr:col>12</xdr:col>
      <xdr:colOff>600560</xdr:colOff>
      <xdr:row>37</xdr:row>
      <xdr:rowOff>119358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79375</xdr:colOff>
      <xdr:row>12</xdr:row>
      <xdr:rowOff>85725</xdr:rowOff>
    </xdr:from>
    <xdr:to>
      <xdr:col>4</xdr:col>
      <xdr:colOff>533400</xdr:colOff>
      <xdr:row>25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107950</xdr:colOff>
      <xdr:row>12</xdr:row>
      <xdr:rowOff>101600</xdr:rowOff>
    </xdr:from>
    <xdr:to>
      <xdr:col>11</xdr:col>
      <xdr:colOff>76201</xdr:colOff>
      <xdr:row>25</xdr:row>
      <xdr:rowOff>82550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247650</xdr:colOff>
      <xdr:row>12</xdr:row>
      <xdr:rowOff>107950</xdr:rowOff>
    </xdr:from>
    <xdr:to>
      <xdr:col>17</xdr:col>
      <xdr:colOff>234950</xdr:colOff>
      <xdr:row>25</xdr:row>
      <xdr:rowOff>63500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85.950631712964" createdVersion="6" refreshedVersion="6" minRefreshableVersion="3" recordCount="10">
  <cacheSource type="worksheet">
    <worksheetSource ref="A1:E11" sheet="data"/>
  </cacheSource>
  <cacheFields count="5">
    <cacheField name="Name" numFmtId="0">
      <sharedItems/>
    </cacheField>
    <cacheField name="Department" numFmtId="0">
      <sharedItems count="3">
        <s v="Sales"/>
        <s v="Marketing"/>
        <s v="HR"/>
      </sharedItems>
    </cacheField>
    <cacheField name="Region" numFmtId="0">
      <sharedItems count="4">
        <s v="East"/>
        <s v="West"/>
        <s v="North"/>
        <s v="South"/>
      </sharedItems>
    </cacheField>
    <cacheField name="Sales" numFmtId="0">
      <sharedItems containsSemiMixedTypes="0" containsString="0" containsNumber="1" containsInteger="1" minValue="2800" maxValue="9000"/>
    </cacheField>
    <cacheField name="Profit" numFmtId="0">
      <sharedItems containsSemiMixedTypes="0" containsString="0" containsNumber="1" containsInteger="1" minValue="280" maxValue="9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s v="John"/>
    <x v="0"/>
    <x v="0"/>
    <n v="5000"/>
    <n v="500"/>
  </r>
  <r>
    <s v="Priya"/>
    <x v="1"/>
    <x v="1"/>
    <n v="8000"/>
    <n v="800"/>
  </r>
  <r>
    <s v="Ravi"/>
    <x v="0"/>
    <x v="2"/>
    <n v="6500"/>
    <n v="650"/>
  </r>
  <r>
    <s v="Sneha"/>
    <x v="2"/>
    <x v="3"/>
    <n v="3000"/>
    <n v="300"/>
  </r>
  <r>
    <s v="Kiran"/>
    <x v="1"/>
    <x v="0"/>
    <n v="9000"/>
    <n v="900"/>
  </r>
  <r>
    <s v="Amit"/>
    <x v="0"/>
    <x v="1"/>
    <n v="7200"/>
    <n v="720"/>
  </r>
  <r>
    <s v="Sara"/>
    <x v="2"/>
    <x v="2"/>
    <n v="2800"/>
    <n v="280"/>
  </r>
  <r>
    <s v="Raj"/>
    <x v="1"/>
    <x v="3"/>
    <n v="8500"/>
    <n v="850"/>
  </r>
  <r>
    <s v="Neha"/>
    <x v="0"/>
    <x v="0"/>
    <n v="6000"/>
    <n v="600"/>
  </r>
  <r>
    <s v="Vijay"/>
    <x v="2"/>
    <x v="1"/>
    <n v="3500"/>
    <n v="3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5">
    <pivotField showAll="0"/>
    <pivotField axis="axisRow" showAll="0">
      <items count="4">
        <item x="2"/>
        <item x="1"/>
        <item x="0"/>
        <item t="default"/>
      </items>
    </pivotField>
    <pivotField showAll="0">
      <items count="5">
        <item x="0"/>
        <item x="2"/>
        <item x="3"/>
        <item x="1"/>
        <item t="default"/>
      </items>
    </pivotField>
    <pivotField showAll="0"/>
    <pivotField dataField="1" showAll="0"/>
  </pivotFields>
  <rowFields count="1">
    <field x="1"/>
  </rowFields>
  <rowItems count="4">
    <i>
      <x/>
    </i>
    <i>
      <x v="1"/>
    </i>
    <i>
      <x v="2"/>
    </i>
    <i t="grand">
      <x/>
    </i>
  </rowItems>
  <colItems count="1">
    <i/>
  </colItems>
  <dataFields count="1">
    <dataField name="Sum of Profit" fld="4" baseField="0" baseItem="0"/>
  </dataFields>
  <chartFormats count="3">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21" sqref="B21"/>
    </sheetView>
  </sheetViews>
  <sheetFormatPr defaultRowHeight="14.5"/>
  <cols>
    <col min="1" max="1" width="12.36328125" customWidth="1"/>
    <col min="2" max="3" width="11.81640625" customWidth="1"/>
    <col min="4" max="4" width="5.7265625" customWidth="1"/>
    <col min="5" max="5" width="5.1796875" customWidth="1"/>
    <col min="6" max="6" width="10.7265625" customWidth="1"/>
    <col min="7" max="7" width="11.26953125" bestFit="1" customWidth="1"/>
    <col min="8" max="8" width="13.54296875" bestFit="1" customWidth="1"/>
    <col min="9" max="9" width="11.26953125" bestFit="1" customWidth="1"/>
    <col min="10" max="10" width="18.36328125" bestFit="1" customWidth="1"/>
    <col min="11" max="11" width="16.08984375" bestFit="1" customWidth="1"/>
  </cols>
  <sheetData>
    <row r="3" spans="1:2">
      <c r="A3" s="7" t="s">
        <v>23</v>
      </c>
      <c r="B3" t="s">
        <v>25</v>
      </c>
    </row>
    <row r="4" spans="1:2">
      <c r="A4" s="8" t="s">
        <v>13</v>
      </c>
      <c r="B4" s="9">
        <v>930</v>
      </c>
    </row>
    <row r="5" spans="1:2">
      <c r="A5" s="8" t="s">
        <v>8</v>
      </c>
      <c r="B5" s="9">
        <v>2550</v>
      </c>
    </row>
    <row r="6" spans="1:2">
      <c r="A6" s="8" t="s">
        <v>3</v>
      </c>
      <c r="B6" s="9">
        <v>2470</v>
      </c>
    </row>
    <row r="7" spans="1:2">
      <c r="A7" s="8" t="s">
        <v>24</v>
      </c>
      <c r="B7" s="9">
        <v>5950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abSelected="1" zoomScale="58" zoomScaleNormal="70" workbookViewId="0">
      <selection activeCell="R34" sqref="R34"/>
    </sheetView>
  </sheetViews>
  <sheetFormatPr defaultRowHeight="14.5"/>
  <cols>
    <col min="2" max="2" width="26.26953125" customWidth="1"/>
    <col min="3" max="3" width="10.1796875" customWidth="1"/>
    <col min="4" max="4" width="25.54296875" customWidth="1"/>
    <col min="6" max="6" width="26.36328125" customWidth="1"/>
    <col min="8" max="8" width="24.26953125" customWidth="1"/>
  </cols>
  <sheetData>
    <row r="1" spans="1:8" ht="26">
      <c r="A1" s="16" t="s">
        <v>26</v>
      </c>
      <c r="B1" s="16"/>
      <c r="C1" s="16"/>
      <c r="D1" s="16"/>
      <c r="E1" s="16"/>
      <c r="F1" s="16"/>
      <c r="G1" s="16"/>
      <c r="H1" s="16"/>
    </row>
    <row r="2" spans="1:8" ht="15.5">
      <c r="B2" s="13" t="s">
        <v>29</v>
      </c>
      <c r="C2" s="10"/>
      <c r="D2" s="12" t="s">
        <v>30</v>
      </c>
      <c r="F2" s="14" t="s">
        <v>27</v>
      </c>
      <c r="H2" s="15" t="s">
        <v>28</v>
      </c>
    </row>
    <row r="3" spans="1:8">
      <c r="B3" s="17">
        <f>SUM(data!D2:D11)</f>
        <v>59500</v>
      </c>
      <c r="C3" s="11"/>
      <c r="D3" s="18" t="str">
        <f>INDEX(data!A2:A11,MATCH(MAX(data!D2:D11),data!D2:D11,0))</f>
        <v>Kiran</v>
      </c>
      <c r="F3" s="19" t="str">
        <f>INDEX(data!B2:B11,MATCH(MAX(data!D2:D11),data!D2:D11,0))</f>
        <v>Marketing</v>
      </c>
      <c r="H3" s="20">
        <f>COUNT(data!D2:D11)</f>
        <v>10</v>
      </c>
    </row>
    <row r="4" spans="1:8">
      <c r="B4" s="17"/>
      <c r="C4" s="11"/>
      <c r="D4" s="18"/>
      <c r="F4" s="19"/>
      <c r="H4" s="20"/>
    </row>
    <row r="5" spans="1:8">
      <c r="B5" s="17"/>
      <c r="C5" s="11"/>
      <c r="D5" s="18"/>
      <c r="F5" s="19"/>
      <c r="H5" s="20"/>
    </row>
    <row r="6" spans="1:8">
      <c r="B6" s="17"/>
      <c r="C6" s="11"/>
      <c r="D6" s="18"/>
      <c r="F6" s="19"/>
      <c r="H6" s="20"/>
    </row>
  </sheetData>
  <mergeCells count="5">
    <mergeCell ref="A1:H1"/>
    <mergeCell ref="B3:B6"/>
    <mergeCell ref="D3:D6"/>
    <mergeCell ref="F3:F6"/>
    <mergeCell ref="H3:H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8" workbookViewId="0">
      <selection activeCell="M10" sqref="M10"/>
    </sheetView>
  </sheetViews>
  <sheetFormatPr defaultRowHeight="14.5"/>
  <cols>
    <col min="2" max="2" width="14.453125" customWidth="1"/>
    <col min="3" max="3" width="13" customWidth="1"/>
    <col min="4" max="4" width="10" customWidth="1"/>
    <col min="5" max="5" width="12.08984375" customWidth="1"/>
  </cols>
  <sheetData>
    <row r="1" spans="1:5" ht="39.5" customHeight="1">
      <c r="A1" s="5" t="s">
        <v>0</v>
      </c>
      <c r="B1" s="5" t="s">
        <v>1</v>
      </c>
      <c r="C1" s="5" t="s">
        <v>2</v>
      </c>
      <c r="D1" s="5" t="s">
        <v>3</v>
      </c>
      <c r="E1" s="5" t="s">
        <v>4</v>
      </c>
    </row>
    <row r="2" spans="1:5">
      <c r="A2" s="6" t="s">
        <v>5</v>
      </c>
      <c r="B2" s="6" t="s">
        <v>3</v>
      </c>
      <c r="C2" s="6" t="s">
        <v>6</v>
      </c>
      <c r="D2" s="6">
        <v>5000</v>
      </c>
      <c r="E2" s="6">
        <v>500</v>
      </c>
    </row>
    <row r="3" spans="1:5">
      <c r="A3" s="6" t="s">
        <v>7</v>
      </c>
      <c r="B3" s="6" t="s">
        <v>8</v>
      </c>
      <c r="C3" s="6" t="s">
        <v>9</v>
      </c>
      <c r="D3" s="6">
        <v>8000</v>
      </c>
      <c r="E3" s="6">
        <v>800</v>
      </c>
    </row>
    <row r="4" spans="1:5">
      <c r="A4" s="6" t="s">
        <v>10</v>
      </c>
      <c r="B4" s="6" t="s">
        <v>3</v>
      </c>
      <c r="C4" s="6" t="s">
        <v>11</v>
      </c>
      <c r="D4" s="6">
        <v>6500</v>
      </c>
      <c r="E4" s="6">
        <v>650</v>
      </c>
    </row>
    <row r="5" spans="1:5">
      <c r="A5" s="6" t="s">
        <v>12</v>
      </c>
      <c r="B5" s="6" t="s">
        <v>13</v>
      </c>
      <c r="C5" s="6" t="s">
        <v>14</v>
      </c>
      <c r="D5" s="6">
        <v>3000</v>
      </c>
      <c r="E5" s="6">
        <v>300</v>
      </c>
    </row>
    <row r="6" spans="1:5">
      <c r="A6" s="6" t="s">
        <v>15</v>
      </c>
      <c r="B6" s="6" t="s">
        <v>8</v>
      </c>
      <c r="C6" s="6" t="s">
        <v>6</v>
      </c>
      <c r="D6" s="6">
        <v>9000</v>
      </c>
      <c r="E6" s="6">
        <v>900</v>
      </c>
    </row>
    <row r="7" spans="1:5">
      <c r="A7" s="6" t="s">
        <v>16</v>
      </c>
      <c r="B7" s="6" t="s">
        <v>3</v>
      </c>
      <c r="C7" s="6" t="s">
        <v>9</v>
      </c>
      <c r="D7" s="6">
        <v>7200</v>
      </c>
      <c r="E7" s="6">
        <v>720</v>
      </c>
    </row>
    <row r="8" spans="1:5">
      <c r="A8" s="6" t="s">
        <v>17</v>
      </c>
      <c r="B8" s="6" t="s">
        <v>13</v>
      </c>
      <c r="C8" s="6" t="s">
        <v>11</v>
      </c>
      <c r="D8" s="6">
        <v>2800</v>
      </c>
      <c r="E8" s="6">
        <v>280</v>
      </c>
    </row>
    <row r="9" spans="1:5">
      <c r="A9" s="6" t="s">
        <v>18</v>
      </c>
      <c r="B9" s="6" t="s">
        <v>8</v>
      </c>
      <c r="C9" s="6" t="s">
        <v>14</v>
      </c>
      <c r="D9" s="6">
        <v>8500</v>
      </c>
      <c r="E9" s="6">
        <v>850</v>
      </c>
    </row>
    <row r="10" spans="1:5">
      <c r="A10" s="6" t="s">
        <v>19</v>
      </c>
      <c r="B10" s="6" t="s">
        <v>3</v>
      </c>
      <c r="C10" s="6" t="s">
        <v>6</v>
      </c>
      <c r="D10" s="6">
        <v>6000</v>
      </c>
      <c r="E10" s="6">
        <v>600</v>
      </c>
    </row>
    <row r="11" spans="1:5">
      <c r="A11" s="6" t="s">
        <v>20</v>
      </c>
      <c r="B11" s="6" t="s">
        <v>13</v>
      </c>
      <c r="C11" s="6" t="s">
        <v>9</v>
      </c>
      <c r="D11" s="6">
        <v>3500</v>
      </c>
      <c r="E11" s="6">
        <v>350</v>
      </c>
    </row>
    <row r="16" spans="1:5">
      <c r="A16" s="1" t="s">
        <v>21</v>
      </c>
    </row>
    <row r="17" spans="1:1">
      <c r="A17" s="1" t="s">
        <v>22</v>
      </c>
    </row>
    <row r="18" spans="1:1">
      <c r="A18" s="2"/>
    </row>
    <row r="19" spans="1:1">
      <c r="A19" s="2"/>
    </row>
    <row r="23" spans="1:1">
      <c r="A23" s="1"/>
    </row>
    <row r="25" spans="1:1">
      <c r="A25" s="3"/>
    </row>
    <row r="26" spans="1:1">
      <c r="A26" s="3"/>
    </row>
    <row r="27" spans="1:1">
      <c r="A27" s="1"/>
    </row>
    <row r="28" spans="1:1">
      <c r="A28" s="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2026-06-12T14:26:24Z</dcterms:created>
  <dcterms:modified xsi:type="dcterms:W3CDTF">2026-06-13T09:49:19Z</dcterms:modified>
</cp:coreProperties>
</file>